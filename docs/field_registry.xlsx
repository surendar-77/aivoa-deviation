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ields" sheetId="2" state="visible" r:id="rId2"/>
    <sheet name="Sections" sheetId="3" state="visible" r:id="rId3"/>
    <sheet name="Tiers" sheetId="4" state="visible" r:id="rId4"/>
    <sheet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theme="1"/>
      <sz val="10"/>
    </font>
    <font>
      <name val="Arial"/>
      <b val="1"/>
      <sz val="10"/>
    </font>
    <font>
      <name val="Arial"/>
      <b val="1"/>
      <sz val="14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3"/>
      </patternFill>
    </fill>
    <fill>
      <patternFill patternType="solid">
        <fgColor rgb="00F4F3FF"/>
      </patternFill>
    </fill>
    <fill>
      <patternFill patternType="solid">
        <fgColor rgb="00171717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bottom style="thin">
        <color rgb="00E5E5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export_field_registry.py</author>
  </authors>
  <commentList>
    <comment ref="N1" authorId="0" shapeId="0">
      <text>
        <t>Maintained by people. Kept when the sheet is regenerated.</t>
      </text>
    </comment>
    <comment ref="O1" authorId="0" shapeId="0">
      <text>
        <t>Maintained by people. Kept when the sheet is regenerated.</t>
      </text>
    </comment>
  </commentList>
</comments>
</file>

<file path=xl/tables/table1.xml><?xml version="1.0" encoding="utf-8"?>
<table xmlns="http://schemas.openxmlformats.org/spreadsheetml/2006/main" id="1" name="FieldRegistry" displayName="FieldRegistry" ref="A1:O45" headerRowCount="1">
  <autoFilter ref="A1:O45"/>
  <tableColumns count="15">
    <tableColumn id="1" name="#"/>
    <tableColumn id="2" name="Field key"/>
    <tableColumn id="3" name="Screen label (plain)"/>
    <tableColumn id="4" name="Regulatory label"/>
    <tableColumn id="5" name="Section"/>
    <tableColumn id="6" name="Tier"/>
    <tableColumn id="7" name="Filled by"/>
    <tableColumn id="8" name="Type"/>
    <tableColumn id="9" name="Allowed options"/>
    <tableColumn id="10" name="Change by chat?"/>
    <tableColumn id="11" name="Re-checks risk?"/>
    <tableColumn id="12" name="Description / help"/>
    <tableColumn id="13" name="Chat wording"/>
    <tableColumn id="14" name="Owner"/>
    <tableColumn id="15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AIVOA Deviation Intake: field registry</t>
        </is>
      </c>
    </row>
    <row r="2">
      <c r="A2" s="2" t="inlineStr">
        <is>
          <t>Generated 2026-09-27 09:57 from app/fields.py (single source of truth).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• Fields: one row per field, filterable. Tier colours: blue = from the report, purple = calculated, green = set by a person.</t>
        </is>
      </c>
    </row>
    <row r="6">
      <c r="A6" s="2" t="inlineStr">
        <is>
          <t>• Owner and Notes (yellow columns) are for people to fill in. They are kept when the sheet is regenerated.</t>
        </is>
      </c>
    </row>
    <row r="7">
      <c r="A7" s="2" t="inlineStr">
        <is>
          <t>• Every other column comes from the code. Change fields in backend/app/fields.py, then regenerate; do not edit them here.</t>
        </is>
      </c>
    </row>
    <row r="8">
      <c r="A8" s="2" t="inlineStr">
        <is>
          <t>• Sections, Tiers: counts are live formulas over the Fields sheet.</t>
        </is>
      </c>
    </row>
    <row r="9">
      <c r="A9" s="2" t="inlineStr">
        <is>
          <t>• Rules: how the calculated fields are worked out.</t>
        </is>
      </c>
    </row>
    <row r="10">
      <c r="A10" s="2" t="inlineStr"/>
    </row>
    <row r="11">
      <c r="A11" s="3" t="inlineStr">
        <is>
          <t>Regenerate</t>
        </is>
      </c>
    </row>
    <row r="12">
      <c r="A12" s="2" t="inlineStr">
        <is>
          <t>cd backend  →  .venv\Scripts\python scripts\export_field_registry.py</t>
        </is>
      </c>
    </row>
    <row r="13">
      <c r="A13" s="2" t="inlineStr">
        <is>
          <t>or ask the Claude Code agent: field-registry-sheet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0" customWidth="1" min="4" max="4"/>
    <col width="24" customWidth="1" min="5" max="5"/>
    <col width="18" customWidth="1" min="6" max="6"/>
    <col width="16" customWidth="1" min="7" max="7"/>
    <col width="10" customWidth="1" min="8" max="8"/>
    <col width="36" customWidth="1" min="9" max="9"/>
    <col width="11" customWidth="1" min="10" max="10"/>
    <col width="11" customWidth="1" min="11" max="11"/>
    <col width="48" customWidth="1" min="12" max="12"/>
    <col width="30" customWidth="1" min="13" max="13"/>
    <col width="16" customWidth="1" min="14" max="14"/>
    <col width="36" customWidth="1" min="15" max="15"/>
  </cols>
  <sheetData>
    <row r="1" ht="30" customHeight="1">
      <c r="A1" s="4" t="inlineStr">
        <is>
          <t>#</t>
        </is>
      </c>
      <c r="B1" s="4" t="inlineStr">
        <is>
          <t>Field key</t>
        </is>
      </c>
      <c r="C1" s="4" t="inlineStr">
        <is>
          <t>Screen label (plain)</t>
        </is>
      </c>
      <c r="D1" s="4" t="inlineStr">
        <is>
          <t>Regulatory label</t>
        </is>
      </c>
      <c r="E1" s="4" t="inlineStr">
        <is>
          <t>Section</t>
        </is>
      </c>
      <c r="F1" s="4" t="inlineStr">
        <is>
          <t>Tier</t>
        </is>
      </c>
      <c r="G1" s="4" t="inlineStr">
        <is>
          <t>Filled by</t>
        </is>
      </c>
      <c r="H1" s="4" t="inlineStr">
        <is>
          <t>Type</t>
        </is>
      </c>
      <c r="I1" s="4" t="inlineStr">
        <is>
          <t>Allowed options</t>
        </is>
      </c>
      <c r="J1" s="4" t="inlineStr">
        <is>
          <t>Change by chat?</t>
        </is>
      </c>
      <c r="K1" s="4" t="inlineStr">
        <is>
          <t>Re-checks risk?</t>
        </is>
      </c>
      <c r="L1" s="4" t="inlineStr">
        <is>
          <t>Description / help</t>
        </is>
      </c>
      <c r="M1" s="4" t="inlineStr">
        <is>
          <t>Chat wording</t>
        </is>
      </c>
      <c r="N1" s="4" t="inlineStr">
        <is>
          <t>Owner</t>
        </is>
      </c>
      <c r="O1" s="4" t="inlineStr">
        <is>
          <t>Notes</t>
        </is>
      </c>
    </row>
    <row r="2">
      <c r="A2" s="5" t="n">
        <v>1</v>
      </c>
      <c r="B2" s="5" t="inlineStr">
        <is>
          <t>title</t>
        </is>
      </c>
      <c r="C2" s="5" t="inlineStr">
        <is>
          <t>Title</t>
        </is>
      </c>
      <c r="D2" s="5" t="inlineStr">
        <is>
          <t>Deviation Title</t>
        </is>
      </c>
      <c r="E2" s="5" t="inlineStr">
        <is>
          <t>1. Event Details</t>
        </is>
      </c>
      <c r="F2" s="6" t="inlineStr">
        <is>
          <t>A · AI-extracted</t>
        </is>
      </c>
      <c r="G2" s="6" t="inlineStr">
        <is>
          <t>From the report</t>
        </is>
      </c>
      <c r="H2" s="5" t="inlineStr">
        <is>
          <t>textarea</t>
        </is>
      </c>
      <c r="I2" s="5" t="inlineStr"/>
      <c r="J2" s="5" t="inlineStr">
        <is>
          <t>Yes</t>
        </is>
      </c>
      <c r="K2" s="5" t="inlineStr">
        <is>
          <t>No</t>
        </is>
      </c>
      <c r="L2" s="5" t="inlineStr">
        <is>
          <t>One-line summary of the event.</t>
        </is>
      </c>
      <c r="M2" s="5" t="inlineStr">
        <is>
          <t>title</t>
        </is>
      </c>
      <c r="N2" s="7" t="inlineStr"/>
      <c r="O2" s="7" t="inlineStr"/>
    </row>
    <row r="3">
      <c r="A3" s="5" t="n">
        <v>2</v>
      </c>
      <c r="B3" s="5" t="inlineStr">
        <is>
          <t>date_detected</t>
        </is>
      </c>
      <c r="C3" s="5" t="inlineStr">
        <is>
          <t>Date found</t>
        </is>
      </c>
      <c r="D3" s="5" t="inlineStr">
        <is>
          <t>Date Detected</t>
        </is>
      </c>
      <c r="E3" s="5" t="inlineStr">
        <is>
          <t>1. Event Details</t>
        </is>
      </c>
      <c r="F3" s="6" t="inlineStr">
        <is>
          <t>A · AI-extracted</t>
        </is>
      </c>
      <c r="G3" s="6" t="inlineStr">
        <is>
          <t>From the report</t>
        </is>
      </c>
      <c r="H3" s="5" t="inlineStr">
        <is>
          <t>date</t>
        </is>
      </c>
      <c r="I3" s="5" t="inlineStr"/>
      <c r="J3" s="5" t="inlineStr">
        <is>
          <t>Yes</t>
        </is>
      </c>
      <c r="K3" s="5" t="inlineStr">
        <is>
          <t>No</t>
        </is>
      </c>
      <c r="L3" s="5" t="inlineStr"/>
      <c r="M3" s="5" t="inlineStr">
        <is>
          <t>date found</t>
        </is>
      </c>
      <c r="N3" s="7" t="inlineStr"/>
      <c r="O3" s="7" t="inlineStr"/>
    </row>
    <row r="4">
      <c r="A4" s="5" t="n">
        <v>3</v>
      </c>
      <c r="B4" s="5" t="inlineStr">
        <is>
          <t>reported_by</t>
        </is>
      </c>
      <c r="C4" s="5" t="inlineStr">
        <is>
          <t>Reported By</t>
        </is>
      </c>
      <c r="D4" s="5" t="inlineStr">
        <is>
          <t>Reported By</t>
        </is>
      </c>
      <c r="E4" s="5" t="inlineStr">
        <is>
          <t>1. Event Details</t>
        </is>
      </c>
      <c r="F4" s="6" t="inlineStr">
        <is>
          <t>A · AI-extracted</t>
        </is>
      </c>
      <c r="G4" s="6" t="inlineStr">
        <is>
          <t>From the report</t>
        </is>
      </c>
      <c r="H4" s="5" t="inlineStr">
        <is>
          <t>text</t>
        </is>
      </c>
      <c r="I4" s="5" t="inlineStr"/>
      <c r="J4" s="5" t="inlineStr">
        <is>
          <t>Yes</t>
        </is>
      </c>
      <c r="K4" s="5" t="inlineStr">
        <is>
          <t>No</t>
        </is>
      </c>
      <c r="L4" s="5" t="inlineStr"/>
      <c r="M4" s="5" t="inlineStr">
        <is>
          <t>reported by</t>
        </is>
      </c>
      <c r="N4" s="7" t="inlineStr"/>
      <c r="O4" s="7" t="inlineStr"/>
    </row>
    <row r="5">
      <c r="A5" s="5" t="n">
        <v>4</v>
      </c>
      <c r="B5" s="5" t="inlineStr">
        <is>
          <t>department</t>
        </is>
      </c>
      <c r="C5" s="5" t="inlineStr">
        <is>
          <t>Department</t>
        </is>
      </c>
      <c r="D5" s="5" t="inlineStr">
        <is>
          <t>Department</t>
        </is>
      </c>
      <c r="E5" s="5" t="inlineStr">
        <is>
          <t>1. Event Details</t>
        </is>
      </c>
      <c r="F5" s="6" t="inlineStr">
        <is>
          <t>A · AI-extracted</t>
        </is>
      </c>
      <c r="G5" s="6" t="inlineStr">
        <is>
          <t>From the report</t>
        </is>
      </c>
      <c r="H5" s="5" t="inlineStr">
        <is>
          <t>text</t>
        </is>
      </c>
      <c r="I5" s="5" t="inlineStr"/>
      <c r="J5" s="5" t="inlineStr">
        <is>
          <t>Yes</t>
        </is>
      </c>
      <c r="K5" s="5" t="inlineStr">
        <is>
          <t>No</t>
        </is>
      </c>
      <c r="L5" s="5" t="inlineStr"/>
      <c r="M5" s="5" t="inlineStr">
        <is>
          <t>department</t>
        </is>
      </c>
      <c r="N5" s="7" t="inlineStr"/>
      <c r="O5" s="7" t="inlineStr"/>
    </row>
    <row r="6">
      <c r="A6" s="5" t="n">
        <v>5</v>
      </c>
      <c r="B6" s="5" t="inlineStr">
        <is>
          <t>area_location</t>
        </is>
      </c>
      <c r="C6" s="5" t="inlineStr">
        <is>
          <t>Area / location</t>
        </is>
      </c>
      <c r="D6" s="5" t="inlineStr">
        <is>
          <t>Area / Location</t>
        </is>
      </c>
      <c r="E6" s="5" t="inlineStr">
        <is>
          <t>1. Event Details</t>
        </is>
      </c>
      <c r="F6" s="6" t="inlineStr">
        <is>
          <t>A · AI-extracted</t>
        </is>
      </c>
      <c r="G6" s="6" t="inlineStr">
        <is>
          <t>From the report</t>
        </is>
      </c>
      <c r="H6" s="5" t="inlineStr">
        <is>
          <t>text</t>
        </is>
      </c>
      <c r="I6" s="5" t="inlineStr"/>
      <c r="J6" s="5" t="inlineStr">
        <is>
          <t>Yes</t>
        </is>
      </c>
      <c r="K6" s="5" t="inlineStr">
        <is>
          <t>No</t>
        </is>
      </c>
      <c r="L6" s="5" t="inlineStr"/>
      <c r="M6" s="5" t="inlineStr">
        <is>
          <t>area / location</t>
        </is>
      </c>
      <c r="N6" s="7" t="inlineStr"/>
      <c r="O6" s="7" t="inlineStr"/>
    </row>
    <row r="7">
      <c r="A7" s="5" t="n">
        <v>6</v>
      </c>
      <c r="B7" s="5" t="inlineStr">
        <is>
          <t>site</t>
        </is>
      </c>
      <c r="C7" s="5" t="inlineStr">
        <is>
          <t>Site</t>
        </is>
      </c>
      <c r="D7" s="5" t="inlineStr">
        <is>
          <t>Site</t>
        </is>
      </c>
      <c r="E7" s="5" t="inlineStr">
        <is>
          <t>1. Event Details</t>
        </is>
      </c>
      <c r="F7" s="8" t="inlineStr">
        <is>
          <t>C · Human/System</t>
        </is>
      </c>
      <c r="G7" s="8" t="inlineStr">
        <is>
          <t>Set by a person</t>
        </is>
      </c>
      <c r="H7" s="5" t="inlineStr">
        <is>
          <t>text</t>
        </is>
      </c>
      <c r="I7" s="5" t="inlineStr"/>
      <c r="J7" s="5" t="inlineStr">
        <is>
          <t>Yes</t>
        </is>
      </c>
      <c r="K7" s="5" t="inlineStr">
        <is>
          <t>No</t>
        </is>
      </c>
      <c r="L7" s="5" t="inlineStr">
        <is>
          <t>Defaults from server config.</t>
        </is>
      </c>
      <c r="M7" s="5" t="inlineStr">
        <is>
          <t>site</t>
        </is>
      </c>
      <c r="N7" s="7" t="inlineStr"/>
      <c r="O7" s="7" t="inlineStr"/>
    </row>
    <row r="8">
      <c r="A8" s="5" t="n">
        <v>7</v>
      </c>
      <c r="B8" s="5" t="inlineStr">
        <is>
          <t>product_name</t>
        </is>
      </c>
      <c r="C8" s="5" t="inlineStr">
        <is>
          <t>Product Name</t>
        </is>
      </c>
      <c r="D8" s="5" t="inlineStr">
        <is>
          <t>Product Name</t>
        </is>
      </c>
      <c r="E8" s="5" t="inlineStr">
        <is>
          <t>2. Product &amp; Process</t>
        </is>
      </c>
      <c r="F8" s="6" t="inlineStr">
        <is>
          <t>A · AI-extracted</t>
        </is>
      </c>
      <c r="G8" s="6" t="inlineStr">
        <is>
          <t>From the report</t>
        </is>
      </c>
      <c r="H8" s="5" t="inlineStr">
        <is>
          <t>text</t>
        </is>
      </c>
      <c r="I8" s="5" t="inlineStr"/>
      <c r="J8" s="5" t="inlineStr">
        <is>
          <t>Yes</t>
        </is>
      </c>
      <c r="K8" s="5" t="inlineStr">
        <is>
          <t>No</t>
        </is>
      </c>
      <c r="L8" s="5" t="inlineStr"/>
      <c r="M8" s="5" t="inlineStr">
        <is>
          <t>product name</t>
        </is>
      </c>
      <c r="N8" s="7" t="inlineStr"/>
      <c r="O8" s="7" t="inlineStr"/>
    </row>
    <row r="9">
      <c r="A9" s="5" t="n">
        <v>8</v>
      </c>
      <c r="B9" s="5" t="inlineStr">
        <is>
          <t>batch_number</t>
        </is>
      </c>
      <c r="C9" s="5" t="inlineStr">
        <is>
          <t>Batch / Lot Number</t>
        </is>
      </c>
      <c r="D9" s="5" t="inlineStr">
        <is>
          <t>Batch / Lot Number</t>
        </is>
      </c>
      <c r="E9" s="5" t="inlineStr">
        <is>
          <t>2. Product &amp; Process</t>
        </is>
      </c>
      <c r="F9" s="6" t="inlineStr">
        <is>
          <t>A · AI-extracted</t>
        </is>
      </c>
      <c r="G9" s="6" t="inlineStr">
        <is>
          <t>From the report</t>
        </is>
      </c>
      <c r="H9" s="5" t="inlineStr">
        <is>
          <t>text</t>
        </is>
      </c>
      <c r="I9" s="5" t="inlineStr"/>
      <c r="J9" s="5" t="inlineStr">
        <is>
          <t>Yes</t>
        </is>
      </c>
      <c r="K9" s="5" t="inlineStr">
        <is>
          <t>No</t>
        </is>
      </c>
      <c r="L9" s="5" t="inlineStr"/>
      <c r="M9" s="5" t="inlineStr">
        <is>
          <t>batch number</t>
        </is>
      </c>
      <c r="N9" s="7" t="inlineStr"/>
      <c r="O9" s="7" t="inlineStr"/>
    </row>
    <row r="10">
      <c r="A10" s="5" t="n">
        <v>9</v>
      </c>
      <c r="B10" s="5" t="inlineStr">
        <is>
          <t>manufacturing_stage</t>
        </is>
      </c>
      <c r="C10" s="5" t="inlineStr">
        <is>
          <t>Production step</t>
        </is>
      </c>
      <c r="D10" s="5" t="inlineStr">
        <is>
          <t>Manufacturing Stage</t>
        </is>
      </c>
      <c r="E10" s="5" t="inlineStr">
        <is>
          <t>2. Product &amp; Process</t>
        </is>
      </c>
      <c r="F10" s="6" t="inlineStr">
        <is>
          <t>A · AI-extracted</t>
        </is>
      </c>
      <c r="G10" s="6" t="inlineStr">
        <is>
          <t>From the report</t>
        </is>
      </c>
      <c r="H10" s="5" t="inlineStr">
        <is>
          <t>select</t>
        </is>
      </c>
      <c r="I10" s="5" t="inlineStr">
        <is>
          <t>Raw Material Dispensing | Reaction | Crystallization | Filtration / Centrifugation | Drying | Milling / Sieving | Blending | Packaging | Other</t>
        </is>
      </c>
      <c r="J10" s="5" t="inlineStr">
        <is>
          <t>Yes</t>
        </is>
      </c>
      <c r="K10" s="5" t="inlineStr">
        <is>
          <t>Yes</t>
        </is>
      </c>
      <c r="L10" s="5" t="inlineStr"/>
      <c r="M10" s="5" t="inlineStr">
        <is>
          <t>production step</t>
        </is>
      </c>
      <c r="N10" s="7" t="inlineStr"/>
      <c r="O10" s="7" t="inlineStr"/>
    </row>
    <row r="11">
      <c r="A11" s="5" t="n">
        <v>10</v>
      </c>
      <c r="B11" s="5" t="inlineStr">
        <is>
          <t>equipment_id</t>
        </is>
      </c>
      <c r="C11" s="5" t="inlineStr">
        <is>
          <t>Machine / equipment ID</t>
        </is>
      </c>
      <c r="D11" s="5" t="inlineStr">
        <is>
          <t>Equipment ID</t>
        </is>
      </c>
      <c r="E11" s="5" t="inlineStr">
        <is>
          <t>2. Product &amp; Process</t>
        </is>
      </c>
      <c r="F11" s="6" t="inlineStr">
        <is>
          <t>A · AI-extracted</t>
        </is>
      </c>
      <c r="G11" s="6" t="inlineStr">
        <is>
          <t>From the report</t>
        </is>
      </c>
      <c r="H11" s="5" t="inlineStr">
        <is>
          <t>text</t>
        </is>
      </c>
      <c r="I11" s="5" t="inlineStr"/>
      <c r="J11" s="5" t="inlineStr">
        <is>
          <t>Yes</t>
        </is>
      </c>
      <c r="K11" s="5" t="inlineStr">
        <is>
          <t>No</t>
        </is>
      </c>
      <c r="L11" s="5" t="inlineStr"/>
      <c r="M11" s="5" t="inlineStr">
        <is>
          <t>machine / equipment ID</t>
        </is>
      </c>
      <c r="N11" s="7" t="inlineStr"/>
      <c r="O11" s="7" t="inlineStr"/>
    </row>
    <row r="12">
      <c r="A12" s="5" t="n">
        <v>11</v>
      </c>
      <c r="B12" s="5" t="inlineStr">
        <is>
          <t>process_parameter</t>
        </is>
      </c>
      <c r="C12" s="5" t="inlineStr">
        <is>
          <t>What was measured</t>
        </is>
      </c>
      <c r="D12" s="5" t="inlineStr">
        <is>
          <t>Process Parameter</t>
        </is>
      </c>
      <c r="E12" s="5" t="inlineStr">
        <is>
          <t>2. Product &amp; Process</t>
        </is>
      </c>
      <c r="F12" s="6" t="inlineStr">
        <is>
          <t>A · AI-extracted</t>
        </is>
      </c>
      <c r="G12" s="6" t="inlineStr">
        <is>
          <t>From the report</t>
        </is>
      </c>
      <c r="H12" s="5" t="inlineStr">
        <is>
          <t>text</t>
        </is>
      </c>
      <c r="I12" s="5" t="inlineStr"/>
      <c r="J12" s="5" t="inlineStr">
        <is>
          <t>Yes</t>
        </is>
      </c>
      <c r="K12" s="5" t="inlineStr">
        <is>
          <t>Yes</t>
        </is>
      </c>
      <c r="L12" s="5" t="inlineStr"/>
      <c r="M12" s="5" t="inlineStr">
        <is>
          <t>what was measured</t>
        </is>
      </c>
      <c r="N12" s="7" t="inlineStr"/>
      <c r="O12" s="7" t="inlineStr"/>
    </row>
    <row r="13">
      <c r="A13" s="5" t="n">
        <v>12</v>
      </c>
      <c r="B13" s="5" t="inlineStr">
        <is>
          <t>approved_range</t>
        </is>
      </c>
      <c r="C13" s="5" t="inlineStr">
        <is>
          <t>Allowed range</t>
        </is>
      </c>
      <c r="D13" s="5" t="inlineStr">
        <is>
          <t>Approved Range</t>
        </is>
      </c>
      <c r="E13" s="5" t="inlineStr">
        <is>
          <t>2. Product &amp; Process</t>
        </is>
      </c>
      <c r="F13" s="6" t="inlineStr">
        <is>
          <t>A · AI-extracted</t>
        </is>
      </c>
      <c r="G13" s="6" t="inlineStr">
        <is>
          <t>From the report</t>
        </is>
      </c>
      <c r="H13" s="5" t="inlineStr">
        <is>
          <t>text</t>
        </is>
      </c>
      <c r="I13" s="5" t="inlineStr"/>
      <c r="J13" s="5" t="inlineStr">
        <is>
          <t>Yes</t>
        </is>
      </c>
      <c r="K13" s="5" t="inlineStr">
        <is>
          <t>Yes</t>
        </is>
      </c>
      <c r="L13" s="5" t="inlineStr">
        <is>
          <t>e.g. 60-65 °C, NMT 0.5%, NLT 98%, 2.0 ± 0.2</t>
        </is>
      </c>
      <c r="M13" s="5" t="inlineStr">
        <is>
          <t>allowed range</t>
        </is>
      </c>
      <c r="N13" s="7" t="inlineStr"/>
      <c r="O13" s="7" t="inlineStr"/>
    </row>
    <row r="14">
      <c r="A14" s="5" t="n">
        <v>13</v>
      </c>
      <c r="B14" s="5" t="inlineStr">
        <is>
          <t>observed_value</t>
        </is>
      </c>
      <c r="C14" s="5" t="inlineStr">
        <is>
          <t>Actual value</t>
        </is>
      </c>
      <c r="D14" s="5" t="inlineStr">
        <is>
          <t>Observed Value</t>
        </is>
      </c>
      <c r="E14" s="5" t="inlineStr">
        <is>
          <t>2. Product &amp; Process</t>
        </is>
      </c>
      <c r="F14" s="6" t="inlineStr">
        <is>
          <t>A · AI-extracted</t>
        </is>
      </c>
      <c r="G14" s="6" t="inlineStr">
        <is>
          <t>From the report</t>
        </is>
      </c>
      <c r="H14" s="5" t="inlineStr">
        <is>
          <t>text</t>
        </is>
      </c>
      <c r="I14" s="5" t="inlineStr"/>
      <c r="J14" s="5" t="inlineStr">
        <is>
          <t>Yes</t>
        </is>
      </c>
      <c r="K14" s="5" t="inlineStr">
        <is>
          <t>Yes</t>
        </is>
      </c>
      <c r="L14" s="5" t="inlineStr"/>
      <c r="M14" s="5" t="inlineStr">
        <is>
          <t>actual value</t>
        </is>
      </c>
      <c r="N14" s="7" t="inlineStr"/>
      <c r="O14" s="7" t="inlineStr"/>
    </row>
    <row r="15">
      <c r="A15" s="5" t="n">
        <v>14</v>
      </c>
      <c r="B15" s="5" t="inlineStr">
        <is>
          <t>description</t>
        </is>
      </c>
      <c r="C15" s="5" t="inlineStr">
        <is>
          <t>What happened</t>
        </is>
      </c>
      <c r="D15" s="5" t="inlineStr">
        <is>
          <t>Deviation Description</t>
        </is>
      </c>
      <c r="E15" s="5" t="inlineStr">
        <is>
          <t>3. Description &amp; Actions</t>
        </is>
      </c>
      <c r="F15" s="6" t="inlineStr">
        <is>
          <t>A · AI-extracted</t>
        </is>
      </c>
      <c r="G15" s="6" t="inlineStr">
        <is>
          <t>From the report</t>
        </is>
      </c>
      <c r="H15" s="5" t="inlineStr">
        <is>
          <t>textarea</t>
        </is>
      </c>
      <c r="I15" s="5" t="inlineStr"/>
      <c r="J15" s="5" t="inlineStr">
        <is>
          <t>Yes</t>
        </is>
      </c>
      <c r="K15" s="5" t="inlineStr">
        <is>
          <t>Yes</t>
        </is>
      </c>
      <c r="L15" s="5" t="inlineStr">
        <is>
          <t>Clean QMS narrative: what, where, when, how detected.</t>
        </is>
      </c>
      <c r="M15" s="5" t="inlineStr">
        <is>
          <t>description of what happened</t>
        </is>
      </c>
      <c r="N15" s="7" t="inlineStr"/>
      <c r="O15" s="7" t="inlineStr"/>
    </row>
    <row r="16">
      <c r="A16" s="5" t="n">
        <v>15</v>
      </c>
      <c r="B16" s="5" t="inlineStr">
        <is>
          <t>immediate_action</t>
        </is>
      </c>
      <c r="C16" s="5" t="inlineStr">
        <is>
          <t>Immediate action taken</t>
        </is>
      </c>
      <c r="D16" s="5" t="inlineStr">
        <is>
          <t>Immediate Action / Containment</t>
        </is>
      </c>
      <c r="E16" s="5" t="inlineStr">
        <is>
          <t>3. Description &amp; Actions</t>
        </is>
      </c>
      <c r="F16" s="6" t="inlineStr">
        <is>
          <t>A · AI-extracted</t>
        </is>
      </c>
      <c r="G16" s="6" t="inlineStr">
        <is>
          <t>From the report</t>
        </is>
      </c>
      <c r="H16" s="5" t="inlineStr">
        <is>
          <t>textarea</t>
        </is>
      </c>
      <c r="I16" s="5" t="inlineStr"/>
      <c r="J16" s="5" t="inlineStr">
        <is>
          <t>Yes</t>
        </is>
      </c>
      <c r="K16" s="5" t="inlineStr">
        <is>
          <t>No</t>
        </is>
      </c>
      <c r="L16" s="5" t="inlineStr"/>
      <c r="M16" s="5" t="inlineStr">
        <is>
          <t>immediate action taken</t>
        </is>
      </c>
      <c r="N16" s="7" t="inlineStr"/>
      <c r="O16" s="7" t="inlineStr"/>
    </row>
    <row r="17">
      <c r="A17" s="5" t="n">
        <v>16</v>
      </c>
      <c r="B17" s="5" t="inlineStr">
        <is>
          <t>root_cause_hypothesis</t>
        </is>
      </c>
      <c r="C17" s="5" t="inlineStr">
        <is>
          <t>Likely cause</t>
        </is>
      </c>
      <c r="D17" s="5" t="inlineStr">
        <is>
          <t>Root Cause Hypothesis</t>
        </is>
      </c>
      <c r="E17" s="5" t="inlineStr">
        <is>
          <t>3. Description &amp; Actions</t>
        </is>
      </c>
      <c r="F17" s="6" t="inlineStr">
        <is>
          <t>A · AI-extracted</t>
        </is>
      </c>
      <c r="G17" s="6" t="inlineStr">
        <is>
          <t>From the report</t>
        </is>
      </c>
      <c r="H17" s="5" t="inlineStr">
        <is>
          <t>textarea</t>
        </is>
      </c>
      <c r="I17" s="5" t="inlineStr"/>
      <c r="J17" s="5" t="inlineStr">
        <is>
          <t>Yes</t>
        </is>
      </c>
      <c r="K17" s="5" t="inlineStr">
        <is>
          <t>No</t>
        </is>
      </c>
      <c r="L17" s="5" t="inlineStr">
        <is>
          <t>Only if the source states a suspected cause.</t>
        </is>
      </c>
      <c r="M17" s="5" t="inlineStr">
        <is>
          <t>likely cause</t>
        </is>
      </c>
      <c r="N17" s="7" t="inlineStr"/>
      <c r="O17" s="7" t="inlineStr"/>
    </row>
    <row r="18">
      <c r="A18" s="5" t="n">
        <v>17</v>
      </c>
      <c r="B18" s="5" t="inlineStr">
        <is>
          <t>batch_disposition</t>
        </is>
      </c>
      <c r="C18" s="5" t="inlineStr">
        <is>
          <t>What happens to the batch</t>
        </is>
      </c>
      <c r="D18" s="5" t="inlineStr">
        <is>
          <t>Batch Disposition</t>
        </is>
      </c>
      <c r="E18" s="5" t="inlineStr">
        <is>
          <t>3. Description &amp; Actions</t>
        </is>
      </c>
      <c r="F18" s="6" t="inlineStr">
        <is>
          <t>A · AI-extracted</t>
        </is>
      </c>
      <c r="G18" s="6" t="inlineStr">
        <is>
          <t>From the report</t>
        </is>
      </c>
      <c r="H18" s="5" t="inlineStr">
        <is>
          <t>select</t>
        </is>
      </c>
      <c r="I18" s="5" t="inlineStr">
        <is>
          <t>Quarantined / On Hold | Under Evaluation | Released | Reprocess / Rework | Rejected</t>
        </is>
      </c>
      <c r="J18" s="5" t="inlineStr">
        <is>
          <t>Yes</t>
        </is>
      </c>
      <c r="K18" s="5" t="inlineStr">
        <is>
          <t>No</t>
        </is>
      </c>
      <c r="L18" s="5" t="inlineStr"/>
      <c r="M18" s="5" t="inlineStr">
        <is>
          <t>what happens to the batch</t>
        </is>
      </c>
      <c r="N18" s="7" t="inlineStr"/>
      <c r="O18" s="7" t="inlineStr"/>
    </row>
    <row r="19">
      <c r="A19" s="5" t="n">
        <v>18</v>
      </c>
      <c r="B19" s="5" t="inlineStr">
        <is>
          <t>deviation_type</t>
        </is>
      </c>
      <c r="C19" s="5" t="inlineStr">
        <is>
          <t>Planned or unplanned</t>
        </is>
      </c>
      <c r="D19" s="5" t="inlineStr">
        <is>
          <t>Deviation Type</t>
        </is>
      </c>
      <c r="E19" s="5" t="inlineStr">
        <is>
          <t>4. Classification</t>
        </is>
      </c>
      <c r="F19" s="6" t="inlineStr">
        <is>
          <t>A · AI-extracted</t>
        </is>
      </c>
      <c r="G19" s="6" t="inlineStr">
        <is>
          <t>From the report</t>
        </is>
      </c>
      <c r="H19" s="5" t="inlineStr">
        <is>
          <t>select</t>
        </is>
      </c>
      <c r="I19" s="5" t="inlineStr">
        <is>
          <t>Planned | Unplanned</t>
        </is>
      </c>
      <c r="J19" s="5" t="inlineStr">
        <is>
          <t>Yes</t>
        </is>
      </c>
      <c r="K19" s="5" t="inlineStr">
        <is>
          <t>No</t>
        </is>
      </c>
      <c r="L19" s="5" t="inlineStr"/>
      <c r="M19" s="5" t="inlineStr">
        <is>
          <t>planned or unplanned</t>
        </is>
      </c>
      <c r="N19" s="7" t="inlineStr"/>
      <c r="O19" s="7" t="inlineStr"/>
    </row>
    <row r="20">
      <c r="A20" s="5" t="n">
        <v>19</v>
      </c>
      <c r="B20" s="5" t="inlineStr">
        <is>
          <t>category</t>
        </is>
      </c>
      <c r="C20" s="5" t="inlineStr">
        <is>
          <t>Category</t>
        </is>
      </c>
      <c r="D20" s="5" t="inlineStr">
        <is>
          <t>Category</t>
        </is>
      </c>
      <c r="E20" s="5" t="inlineStr">
        <is>
          <t>4. Classification</t>
        </is>
      </c>
      <c r="F20" s="6" t="inlineStr">
        <is>
          <t>A · AI-extracted</t>
        </is>
      </c>
      <c r="G20" s="6" t="inlineStr">
        <is>
          <t>From the report</t>
        </is>
      </c>
      <c r="H20" s="5" t="inlineStr">
        <is>
          <t>select</t>
        </is>
      </c>
      <c r="I20" s="5" t="inlineStr">
        <is>
          <t>Process Parameter Excursion | Equipment Malfunction | Material / Specification (OOS) | Documentation | Environmental Monitoring | Utility Failure | Cleaning | Other</t>
        </is>
      </c>
      <c r="J20" s="5" t="inlineStr">
        <is>
          <t>Yes</t>
        </is>
      </c>
      <c r="K20" s="5" t="inlineStr">
        <is>
          <t>Yes</t>
        </is>
      </c>
      <c r="L20" s="5" t="inlineStr"/>
      <c r="M20" s="5" t="inlineStr">
        <is>
          <t>category</t>
        </is>
      </c>
      <c r="N20" s="7" t="inlineStr"/>
      <c r="O20" s="7" t="inlineStr"/>
    </row>
    <row r="21">
      <c r="A21" s="5" t="n">
        <v>20</v>
      </c>
      <c r="B21" s="5" t="inlineStr">
        <is>
          <t>gmp_impact</t>
        </is>
      </c>
      <c r="C21" s="5" t="inlineStr">
        <is>
          <t>Affects product quality? (GMP)</t>
        </is>
      </c>
      <c r="D21" s="5" t="inlineStr">
        <is>
          <t>GMP Impact</t>
        </is>
      </c>
      <c r="E21" s="5" t="inlineStr">
        <is>
          <t>4. Classification</t>
        </is>
      </c>
      <c r="F21" s="6" t="inlineStr">
        <is>
          <t>A · AI-extracted</t>
        </is>
      </c>
      <c r="G21" s="6" t="inlineStr">
        <is>
          <t>From the report</t>
        </is>
      </c>
      <c r="H21" s="5" t="inlineStr">
        <is>
          <t>select</t>
        </is>
      </c>
      <c r="I21" s="5" t="inlineStr">
        <is>
          <t>Yes | No | Potential</t>
        </is>
      </c>
      <c r="J21" s="5" t="inlineStr">
        <is>
          <t>Yes</t>
        </is>
      </c>
      <c r="K21" s="5" t="inlineStr">
        <is>
          <t>Yes</t>
        </is>
      </c>
      <c r="L21" s="5" t="inlineStr"/>
      <c r="M21" s="5" t="inlineStr">
        <is>
          <t>effect on product quality (GMP impact)</t>
        </is>
      </c>
      <c r="N21" s="7" t="inlineStr"/>
      <c r="O21" s="7" t="inlineStr"/>
    </row>
    <row r="22">
      <c r="A22" s="5" t="n">
        <v>21</v>
      </c>
      <c r="B22" s="5" t="inlineStr">
        <is>
          <t>root_cause_category</t>
        </is>
      </c>
      <c r="C22" s="5" t="inlineStr">
        <is>
          <t>Type of cause</t>
        </is>
      </c>
      <c r="D22" s="5" t="inlineStr">
        <is>
          <t>Root Cause Category</t>
        </is>
      </c>
      <c r="E22" s="5" t="inlineStr">
        <is>
          <t>4. Classification</t>
        </is>
      </c>
      <c r="F22" s="6" t="inlineStr">
        <is>
          <t>A · AI-extracted</t>
        </is>
      </c>
      <c r="G22" s="6" t="inlineStr">
        <is>
          <t>From the report</t>
        </is>
      </c>
      <c r="H22" s="5" t="inlineStr">
        <is>
          <t>select</t>
        </is>
      </c>
      <c r="I22" s="5" t="inlineStr">
        <is>
          <t>Equipment | Process | Material | Human Error | Method / Procedure | Environment | Utility | Under Investigation</t>
        </is>
      </c>
      <c r="J22" s="5" t="inlineStr">
        <is>
          <t>Yes</t>
        </is>
      </c>
      <c r="K22" s="5" t="inlineStr">
        <is>
          <t>No</t>
        </is>
      </c>
      <c r="L22" s="5" t="inlineStr"/>
      <c r="M22" s="5" t="inlineStr">
        <is>
          <t>type of cause</t>
        </is>
      </c>
      <c r="N22" s="7" t="inlineStr"/>
      <c r="O22" s="7" t="inlineStr"/>
    </row>
    <row r="23">
      <c r="A23" s="5" t="n">
        <v>22</v>
      </c>
      <c r="B23" s="5" t="inlineStr">
        <is>
          <t>deviation_id</t>
        </is>
      </c>
      <c r="C23" s="5" t="inlineStr">
        <is>
          <t>Record number</t>
        </is>
      </c>
      <c r="D23" s="5" t="inlineStr">
        <is>
          <t>Deviation ID</t>
        </is>
      </c>
      <c r="E23" s="5" t="inlineStr">
        <is>
          <t>5. Administration</t>
        </is>
      </c>
      <c r="F23" s="8" t="inlineStr">
        <is>
          <t>C · Human/System</t>
        </is>
      </c>
      <c r="G23" s="8" t="inlineStr">
        <is>
          <t>Set by a person</t>
        </is>
      </c>
      <c r="H23" s="5" t="inlineStr">
        <is>
          <t>text</t>
        </is>
      </c>
      <c r="I23" s="5" t="inlineStr"/>
      <c r="J23" s="5" t="inlineStr">
        <is>
          <t>No</t>
        </is>
      </c>
      <c r="K23" s="5" t="inlineStr">
        <is>
          <t>No</t>
        </is>
      </c>
      <c r="L23" s="5" t="inlineStr">
        <is>
          <t>Auto-generated on save (DEV-YYYY-NNNN).</t>
        </is>
      </c>
      <c r="M23" s="5" t="inlineStr">
        <is>
          <t>record number</t>
        </is>
      </c>
      <c r="N23" s="7" t="inlineStr"/>
      <c r="O23" s="7" t="inlineStr"/>
    </row>
    <row r="24">
      <c r="A24" s="5" t="n">
        <v>23</v>
      </c>
      <c r="B24" s="5" t="inlineStr">
        <is>
          <t>status</t>
        </is>
      </c>
      <c r="C24" s="5" t="inlineStr">
        <is>
          <t>Status</t>
        </is>
      </c>
      <c r="D24" s="5" t="inlineStr">
        <is>
          <t>Status</t>
        </is>
      </c>
      <c r="E24" s="5" t="inlineStr">
        <is>
          <t>5. Administration</t>
        </is>
      </c>
      <c r="F24" s="8" t="inlineStr">
        <is>
          <t>C · Human/System</t>
        </is>
      </c>
      <c r="G24" s="8" t="inlineStr">
        <is>
          <t>Set by a person</t>
        </is>
      </c>
      <c r="H24" s="5" t="inlineStr">
        <is>
          <t>select</t>
        </is>
      </c>
      <c r="I24" s="5" t="inlineStr">
        <is>
          <t>Draft | Open | Under Investigation | Pending QA Approval | Closed</t>
        </is>
      </c>
      <c r="J24" s="5" t="inlineStr">
        <is>
          <t>Yes</t>
        </is>
      </c>
      <c r="K24" s="5" t="inlineStr">
        <is>
          <t>No</t>
        </is>
      </c>
      <c r="L24" s="5" t="inlineStr"/>
      <c r="M24" s="5" t="inlineStr">
        <is>
          <t>status</t>
        </is>
      </c>
      <c r="N24" s="7" t="inlineStr"/>
      <c r="O24" s="7" t="inlineStr"/>
    </row>
    <row r="25">
      <c r="A25" s="5" t="n">
        <v>24</v>
      </c>
      <c r="B25" s="5" t="inlineStr">
        <is>
          <t>date_reported</t>
        </is>
      </c>
      <c r="C25" s="5" t="inlineStr">
        <is>
          <t>Date recorded</t>
        </is>
      </c>
      <c r="D25" s="5" t="inlineStr">
        <is>
          <t>Date Reported</t>
        </is>
      </c>
      <c r="E25" s="5" t="inlineStr">
        <is>
          <t>5. Administration</t>
        </is>
      </c>
      <c r="F25" s="8" t="inlineStr">
        <is>
          <t>C · Human/System</t>
        </is>
      </c>
      <c r="G25" s="8" t="inlineStr">
        <is>
          <t>Set by a person</t>
        </is>
      </c>
      <c r="H25" s="5" t="inlineStr">
        <is>
          <t>date</t>
        </is>
      </c>
      <c r="I25" s="5" t="inlineStr"/>
      <c r="J25" s="5" t="inlineStr">
        <is>
          <t>No</t>
        </is>
      </c>
      <c r="K25" s="5" t="inlineStr">
        <is>
          <t>No</t>
        </is>
      </c>
      <c r="L25" s="5" t="inlineStr">
        <is>
          <t>System date when the deviation was logged.</t>
        </is>
      </c>
      <c r="M25" s="5" t="inlineStr">
        <is>
          <t>date recorded</t>
        </is>
      </c>
      <c r="N25" s="7" t="inlineStr"/>
      <c r="O25" s="7" t="inlineStr"/>
    </row>
    <row r="26">
      <c r="A26" s="5" t="n">
        <v>25</v>
      </c>
      <c r="B26" s="5" t="inlineStr">
        <is>
          <t>assigned_investigator</t>
        </is>
      </c>
      <c r="C26" s="5" t="inlineStr">
        <is>
          <t>Investigator</t>
        </is>
      </c>
      <c r="D26" s="5" t="inlineStr">
        <is>
          <t>Assigned Investigator</t>
        </is>
      </c>
      <c r="E26" s="5" t="inlineStr">
        <is>
          <t>5. Administration</t>
        </is>
      </c>
      <c r="F26" s="8" t="inlineStr">
        <is>
          <t>C · Human/System</t>
        </is>
      </c>
      <c r="G26" s="8" t="inlineStr">
        <is>
          <t>Set by a person</t>
        </is>
      </c>
      <c r="H26" s="5" t="inlineStr">
        <is>
          <t>text</t>
        </is>
      </c>
      <c r="I26" s="5" t="inlineStr"/>
      <c r="J26" s="5" t="inlineStr">
        <is>
          <t>Yes</t>
        </is>
      </c>
      <c r="K26" s="5" t="inlineStr">
        <is>
          <t>No</t>
        </is>
      </c>
      <c r="L26" s="5" t="inlineStr"/>
      <c r="M26" s="5" t="inlineStr">
        <is>
          <t>investigator</t>
        </is>
      </c>
      <c r="N26" s="7" t="inlineStr"/>
      <c r="O26" s="7" t="inlineStr"/>
    </row>
    <row r="27">
      <c r="A27" s="5" t="n">
        <v>26</v>
      </c>
      <c r="B27" s="5" t="inlineStr">
        <is>
          <t>ha_notification_required</t>
        </is>
      </c>
      <c r="C27" s="5" t="inlineStr">
        <is>
          <t>Tell the health authority?</t>
        </is>
      </c>
      <c r="D27" s="5" t="inlineStr">
        <is>
          <t>HA Notification Required</t>
        </is>
      </c>
      <c r="E27" s="5" t="inlineStr">
        <is>
          <t>5. Administration</t>
        </is>
      </c>
      <c r="F27" s="8" t="inlineStr">
        <is>
          <t>C · Human/System</t>
        </is>
      </c>
      <c r="G27" s="8" t="inlineStr">
        <is>
          <t>Set by a person</t>
        </is>
      </c>
      <c r="H27" s="5" t="inlineStr">
        <is>
          <t>select</t>
        </is>
      </c>
      <c r="I27" s="5" t="inlineStr">
        <is>
          <t>Yes | No | To be evaluated</t>
        </is>
      </c>
      <c r="J27" s="5" t="inlineStr">
        <is>
          <t>Yes</t>
        </is>
      </c>
      <c r="K27" s="5" t="inlineStr">
        <is>
          <t>No</t>
        </is>
      </c>
      <c r="L27" s="5" t="inlineStr"/>
      <c r="M27" s="5" t="inlineStr">
        <is>
          <t>whether to tell the health authority</t>
        </is>
      </c>
      <c r="N27" s="7" t="inlineStr"/>
      <c r="O27" s="7" t="inlineStr"/>
    </row>
    <row r="28">
      <c r="A28" s="5" t="n">
        <v>27</v>
      </c>
      <c r="B28" s="5" t="inlineStr">
        <is>
          <t>customer_notification_required</t>
        </is>
      </c>
      <c r="C28" s="5" t="inlineStr">
        <is>
          <t>Tell the customer?</t>
        </is>
      </c>
      <c r="D28" s="5" t="inlineStr">
        <is>
          <t>Customer Notification Required</t>
        </is>
      </c>
      <c r="E28" s="5" t="inlineStr">
        <is>
          <t>5. Administration</t>
        </is>
      </c>
      <c r="F28" s="8" t="inlineStr">
        <is>
          <t>C · Human/System</t>
        </is>
      </c>
      <c r="G28" s="8" t="inlineStr">
        <is>
          <t>Set by a person</t>
        </is>
      </c>
      <c r="H28" s="5" t="inlineStr">
        <is>
          <t>select</t>
        </is>
      </c>
      <c r="I28" s="5" t="inlineStr">
        <is>
          <t>Yes | No | To be evaluated</t>
        </is>
      </c>
      <c r="J28" s="5" t="inlineStr">
        <is>
          <t>Yes</t>
        </is>
      </c>
      <c r="K28" s="5" t="inlineStr">
        <is>
          <t>No</t>
        </is>
      </c>
      <c r="L28" s="5" t="inlineStr"/>
      <c r="M28" s="5" t="inlineStr">
        <is>
          <t>whether to tell the customer</t>
        </is>
      </c>
      <c r="N28" s="7" t="inlineStr"/>
      <c r="O28" s="7" t="inlineStr"/>
    </row>
    <row r="29">
      <c r="A29" s="5" t="n">
        <v>28</v>
      </c>
      <c r="B29" s="5" t="inlineStr">
        <is>
          <t>quarantine_reference</t>
        </is>
      </c>
      <c r="C29" s="5" t="inlineStr">
        <is>
          <t>Hold / quarantine number</t>
        </is>
      </c>
      <c r="D29" s="5" t="inlineStr">
        <is>
          <t>Quarantine Reference</t>
        </is>
      </c>
      <c r="E29" s="5" t="inlineStr">
        <is>
          <t>5. Administration</t>
        </is>
      </c>
      <c r="F29" s="8" t="inlineStr">
        <is>
          <t>C · Human/System</t>
        </is>
      </c>
      <c r="G29" s="8" t="inlineStr">
        <is>
          <t>Set by a person</t>
        </is>
      </c>
      <c r="H29" s="5" t="inlineStr">
        <is>
          <t>text</t>
        </is>
      </c>
      <c r="I29" s="5" t="inlineStr"/>
      <c r="J29" s="5" t="inlineStr">
        <is>
          <t>Yes</t>
        </is>
      </c>
      <c r="K29" s="5" t="inlineStr">
        <is>
          <t>No</t>
        </is>
      </c>
      <c r="L29" s="5" t="inlineStr"/>
      <c r="M29" s="5" t="inlineStr">
        <is>
          <t>hold / quarantine number</t>
        </is>
      </c>
      <c r="N29" s="7" t="inlineStr"/>
      <c r="O29" s="7" t="inlineStr"/>
    </row>
    <row r="30">
      <c r="A30" s="5" t="n">
        <v>29</v>
      </c>
      <c r="B30" s="5" t="inlineStr">
        <is>
          <t>source_document</t>
        </is>
      </c>
      <c r="C30" s="5" t="inlineStr">
        <is>
          <t>Received from</t>
        </is>
      </c>
      <c r="D30" s="5" t="inlineStr">
        <is>
          <t>Source Document</t>
        </is>
      </c>
      <c r="E30" s="5" t="inlineStr">
        <is>
          <t>5. Administration</t>
        </is>
      </c>
      <c r="F30" s="8" t="inlineStr">
        <is>
          <t>C · Human/System</t>
        </is>
      </c>
      <c r="G30" s="8" t="inlineStr">
        <is>
          <t>Set by a person</t>
        </is>
      </c>
      <c r="H30" s="5" t="inlineStr">
        <is>
          <t>text</t>
        </is>
      </c>
      <c r="I30" s="5" t="inlineStr"/>
      <c r="J30" s="5" t="inlineStr">
        <is>
          <t>No</t>
        </is>
      </c>
      <c r="K30" s="5" t="inlineStr">
        <is>
          <t>No</t>
        </is>
      </c>
      <c r="L30" s="5" t="inlineStr"/>
      <c r="M30" s="5" t="inlineStr">
        <is>
          <t>source</t>
        </is>
      </c>
      <c r="N30" s="7" t="inlineStr"/>
      <c r="O30" s="7" t="inlineStr"/>
    </row>
    <row r="31">
      <c r="A31" s="5" t="n">
        <v>30</v>
      </c>
      <c r="B31" s="5" t="inlineStr">
        <is>
          <t>last_updated_by</t>
        </is>
      </c>
      <c r="C31" s="5" t="inlineStr">
        <is>
          <t>Last changed by</t>
        </is>
      </c>
      <c r="D31" s="5" t="inlineStr">
        <is>
          <t>Last Updated By</t>
        </is>
      </c>
      <c r="E31" s="5" t="inlineStr">
        <is>
          <t>5. Administration</t>
        </is>
      </c>
      <c r="F31" s="8" t="inlineStr">
        <is>
          <t>C · Human/System</t>
        </is>
      </c>
      <c r="G31" s="8" t="inlineStr">
        <is>
          <t>Set by a person</t>
        </is>
      </c>
      <c r="H31" s="5" t="inlineStr">
        <is>
          <t>text</t>
        </is>
      </c>
      <c r="I31" s="5" t="inlineStr"/>
      <c r="J31" s="5" t="inlineStr">
        <is>
          <t>Yes</t>
        </is>
      </c>
      <c r="K31" s="5" t="inlineStr">
        <is>
          <t>No</t>
        </is>
      </c>
      <c r="L31" s="5" t="inlineStr"/>
      <c r="M31" s="5" t="inlineStr">
        <is>
          <t>last changed by</t>
        </is>
      </c>
      <c r="N31" s="7" t="inlineStr"/>
      <c r="O31" s="7" t="inlineStr"/>
    </row>
    <row r="32">
      <c r="A32" s="5" t="n">
        <v>31</v>
      </c>
      <c r="B32" s="5" t="inlineStr">
        <is>
          <t>severity_score</t>
        </is>
      </c>
      <c r="C32" s="5" t="inlineStr">
        <is>
          <t>Severity</t>
        </is>
      </c>
      <c r="D32" s="5" t="inlineStr">
        <is>
          <t>Severity (S)</t>
        </is>
      </c>
      <c r="E32" s="5" t="inlineStr">
        <is>
          <t>Risk Assessment</t>
        </is>
      </c>
      <c r="F32" s="9" t="inlineStr">
        <is>
          <t>B · AI-computed</t>
        </is>
      </c>
      <c r="G32" s="9" t="inlineStr">
        <is>
          <t>Calculated</t>
        </is>
      </c>
      <c r="H32" s="5" t="inlineStr">
        <is>
          <t>score</t>
        </is>
      </c>
      <c r="I32" s="5" t="inlineStr"/>
      <c r="J32" s="5" t="inlineStr">
        <is>
          <t>Yes</t>
        </is>
      </c>
      <c r="K32" s="5" t="inlineStr">
        <is>
          <t>No</t>
        </is>
      </c>
      <c r="L32" s="5" t="inlineStr"/>
      <c r="M32" s="5" t="inlineStr">
        <is>
          <t>severity score</t>
        </is>
      </c>
      <c r="N32" s="7" t="inlineStr"/>
      <c r="O32" s="7" t="inlineStr"/>
    </row>
    <row r="33">
      <c r="A33" s="5" t="n">
        <v>32</v>
      </c>
      <c r="B33" s="5" t="inlineStr">
        <is>
          <t>occurrence_score</t>
        </is>
      </c>
      <c r="C33" s="5" t="inlineStr">
        <is>
          <t>Likelihood</t>
        </is>
      </c>
      <c r="D33" s="5" t="inlineStr">
        <is>
          <t>Occurrence (O)</t>
        </is>
      </c>
      <c r="E33" s="5" t="inlineStr">
        <is>
          <t>Risk Assessment</t>
        </is>
      </c>
      <c r="F33" s="9" t="inlineStr">
        <is>
          <t>B · AI-computed</t>
        </is>
      </c>
      <c r="G33" s="9" t="inlineStr">
        <is>
          <t>Calculated</t>
        </is>
      </c>
      <c r="H33" s="5" t="inlineStr">
        <is>
          <t>score</t>
        </is>
      </c>
      <c r="I33" s="5" t="inlineStr"/>
      <c r="J33" s="5" t="inlineStr">
        <is>
          <t>Yes</t>
        </is>
      </c>
      <c r="K33" s="5" t="inlineStr">
        <is>
          <t>No</t>
        </is>
      </c>
      <c r="L33" s="5" t="inlineStr"/>
      <c r="M33" s="5" t="inlineStr">
        <is>
          <t>likelihood score</t>
        </is>
      </c>
      <c r="N33" s="7" t="inlineStr"/>
      <c r="O33" s="7" t="inlineStr"/>
    </row>
    <row r="34">
      <c r="A34" s="5" t="n">
        <v>33</v>
      </c>
      <c r="B34" s="5" t="inlineStr">
        <is>
          <t>detectability_score</t>
        </is>
      </c>
      <c r="C34" s="5" t="inlineStr">
        <is>
          <t>Hard to detect</t>
        </is>
      </c>
      <c r="D34" s="5" t="inlineStr">
        <is>
          <t>Detectability (D)</t>
        </is>
      </c>
      <c r="E34" s="5" t="inlineStr">
        <is>
          <t>Risk Assessment</t>
        </is>
      </c>
      <c r="F34" s="9" t="inlineStr">
        <is>
          <t>B · AI-computed</t>
        </is>
      </c>
      <c r="G34" s="9" t="inlineStr">
        <is>
          <t>Calculated</t>
        </is>
      </c>
      <c r="H34" s="5" t="inlineStr">
        <is>
          <t>score</t>
        </is>
      </c>
      <c r="I34" s="5" t="inlineStr"/>
      <c r="J34" s="5" t="inlineStr">
        <is>
          <t>Yes</t>
        </is>
      </c>
      <c r="K34" s="5" t="inlineStr">
        <is>
          <t>No</t>
        </is>
      </c>
      <c r="L34" s="5" t="inlineStr"/>
      <c r="M34" s="5" t="inlineStr">
        <is>
          <t>hard-to-detect score</t>
        </is>
      </c>
      <c r="N34" s="7" t="inlineStr"/>
      <c r="O34" s="7" t="inlineStr"/>
    </row>
    <row r="35">
      <c r="A35" s="5" t="n">
        <v>34</v>
      </c>
      <c r="B35" s="5" t="inlineStr">
        <is>
          <t>rpn</t>
        </is>
      </c>
      <c r="C35" s="5" t="inlineStr">
        <is>
          <t>Risk score (RPN)</t>
        </is>
      </c>
      <c r="D35" s="5" t="inlineStr">
        <is>
          <t>RPN (S×O×D)</t>
        </is>
      </c>
      <c r="E35" s="5" t="inlineStr">
        <is>
          <t>Risk Assessment</t>
        </is>
      </c>
      <c r="F35" s="9" t="inlineStr">
        <is>
          <t>B · AI-computed</t>
        </is>
      </c>
      <c r="G35" s="9" t="inlineStr">
        <is>
          <t>Calculated</t>
        </is>
      </c>
      <c r="H35" s="5" t="inlineStr">
        <is>
          <t>text</t>
        </is>
      </c>
      <c r="I35" s="5" t="inlineStr"/>
      <c r="J35" s="5" t="inlineStr">
        <is>
          <t>No</t>
        </is>
      </c>
      <c r="K35" s="5" t="inlineStr">
        <is>
          <t>No</t>
        </is>
      </c>
      <c r="L35" s="5" t="inlineStr"/>
      <c r="M35" s="5" t="inlineStr">
        <is>
          <t>risk score (RPN)</t>
        </is>
      </c>
      <c r="N35" s="7" t="inlineStr"/>
      <c r="O35" s="7" t="inlineStr"/>
    </row>
    <row r="36">
      <c r="A36" s="5" t="n">
        <v>35</v>
      </c>
      <c r="B36" s="5" t="inlineStr">
        <is>
          <t>severity_classification</t>
        </is>
      </c>
      <c r="C36" s="5" t="inlineStr">
        <is>
          <t>Severity level</t>
        </is>
      </c>
      <c r="D36" s="5" t="inlineStr">
        <is>
          <t>Severity (Suggested)</t>
        </is>
      </c>
      <c r="E36" s="5" t="inlineStr">
        <is>
          <t>Risk Assessment</t>
        </is>
      </c>
      <c r="F36" s="9" t="inlineStr">
        <is>
          <t>B · AI-computed</t>
        </is>
      </c>
      <c r="G36" s="9" t="inlineStr">
        <is>
          <t>Calculated</t>
        </is>
      </c>
      <c r="H36" s="5" t="inlineStr">
        <is>
          <t>select</t>
        </is>
      </c>
      <c r="I36" s="5" t="inlineStr">
        <is>
          <t>Critical | Major | Minor</t>
        </is>
      </c>
      <c r="J36" s="5" t="inlineStr">
        <is>
          <t>Yes</t>
        </is>
      </c>
      <c r="K36" s="5" t="inlineStr">
        <is>
          <t>No</t>
        </is>
      </c>
      <c r="L36" s="5" t="inlineStr">
        <is>
          <t>Rule-derived from S and RPN unless explicitly overridden by the user.</t>
        </is>
      </c>
      <c r="M36" s="5" t="inlineStr">
        <is>
          <t>severity level</t>
        </is>
      </c>
      <c r="N36" s="7" t="inlineStr"/>
      <c r="O36" s="7" t="inlineStr"/>
    </row>
    <row r="37">
      <c r="A37" s="5" t="n">
        <v>36</v>
      </c>
      <c r="B37" s="5" t="inlineStr">
        <is>
          <t>severity_reasoning</t>
        </is>
      </c>
      <c r="C37" s="5" t="inlineStr">
        <is>
          <t>Why this risk level</t>
        </is>
      </c>
      <c r="D37" s="5" t="inlineStr">
        <is>
          <t>Initial Risk Assessment</t>
        </is>
      </c>
      <c r="E37" s="5" t="inlineStr">
        <is>
          <t>Risk Assessment</t>
        </is>
      </c>
      <c r="F37" s="9" t="inlineStr">
        <is>
          <t>B · AI-computed</t>
        </is>
      </c>
      <c r="G37" s="9" t="inlineStr">
        <is>
          <t>Calculated</t>
        </is>
      </c>
      <c r="H37" s="5" t="inlineStr">
        <is>
          <t>textarea</t>
        </is>
      </c>
      <c r="I37" s="5" t="inlineStr"/>
      <c r="J37" s="5" t="inlineStr">
        <is>
          <t>Yes</t>
        </is>
      </c>
      <c r="K37" s="5" t="inlineStr">
        <is>
          <t>No</t>
        </is>
      </c>
      <c r="L37" s="5" t="inlineStr"/>
      <c r="M37" s="5" t="inlineStr">
        <is>
          <t>reason for the risk level</t>
        </is>
      </c>
      <c r="N37" s="7" t="inlineStr"/>
      <c r="O37" s="7" t="inlineStr"/>
    </row>
    <row r="38">
      <c r="A38" s="5" t="n">
        <v>37</v>
      </c>
      <c r="B38" s="5" t="inlineStr">
        <is>
          <t>impact_assessment</t>
        </is>
      </c>
      <c r="C38" s="5" t="inlineStr">
        <is>
          <t>Possible impact</t>
        </is>
      </c>
      <c r="D38" s="5" t="inlineStr">
        <is>
          <t>Impact Assessment</t>
        </is>
      </c>
      <c r="E38" s="5" t="inlineStr">
        <is>
          <t>Risk Assessment</t>
        </is>
      </c>
      <c r="F38" s="9" t="inlineStr">
        <is>
          <t>B · AI-computed</t>
        </is>
      </c>
      <c r="G38" s="9" t="inlineStr">
        <is>
          <t>Calculated</t>
        </is>
      </c>
      <c r="H38" s="5" t="inlineStr">
        <is>
          <t>textarea</t>
        </is>
      </c>
      <c r="I38" s="5" t="inlineStr"/>
      <c r="J38" s="5" t="inlineStr">
        <is>
          <t>Yes</t>
        </is>
      </c>
      <c r="K38" s="5" t="inlineStr">
        <is>
          <t>No</t>
        </is>
      </c>
      <c r="L38" s="5" t="inlineStr"/>
      <c r="M38" s="5" t="inlineStr">
        <is>
          <t>possible impact</t>
        </is>
      </c>
      <c r="N38" s="7" t="inlineStr"/>
      <c r="O38" s="7" t="inlineStr"/>
    </row>
    <row r="39">
      <c r="A39" s="5" t="n">
        <v>38</v>
      </c>
      <c r="B39" s="5" t="inlineStr">
        <is>
          <t>suggested_next_action</t>
        </is>
      </c>
      <c r="C39" s="5" t="inlineStr">
        <is>
          <t>Suggested next step</t>
        </is>
      </c>
      <c r="D39" s="5" t="inlineStr">
        <is>
          <t>Suggested Next Action</t>
        </is>
      </c>
      <c r="E39" s="5" t="inlineStr">
        <is>
          <t>Risk Assessment</t>
        </is>
      </c>
      <c r="F39" s="9" t="inlineStr">
        <is>
          <t>B · AI-computed</t>
        </is>
      </c>
      <c r="G39" s="9" t="inlineStr">
        <is>
          <t>Calculated</t>
        </is>
      </c>
      <c r="H39" s="5" t="inlineStr">
        <is>
          <t>text</t>
        </is>
      </c>
      <c r="I39" s="5" t="inlineStr"/>
      <c r="J39" s="5" t="inlineStr">
        <is>
          <t>Yes</t>
        </is>
      </c>
      <c r="K39" s="5" t="inlineStr">
        <is>
          <t>No</t>
        </is>
      </c>
      <c r="L39" s="5" t="inlineStr">
        <is>
          <t>e.g. Quarantine batch and route to QA investigation.</t>
        </is>
      </c>
      <c r="M39" s="5" t="inlineStr">
        <is>
          <t>suggested next step</t>
        </is>
      </c>
      <c r="N39" s="7" t="inlineStr"/>
      <c r="O39" s="7" t="inlineStr"/>
    </row>
    <row r="40">
      <c r="A40" s="5" t="n">
        <v>39</v>
      </c>
      <c r="B40" s="5" t="inlineStr">
        <is>
          <t>capa_required</t>
        </is>
      </c>
      <c r="C40" s="5" t="inlineStr">
        <is>
          <t>Corrective action (CAPA)</t>
        </is>
      </c>
      <c r="D40" s="5" t="inlineStr">
        <is>
          <t>CAPA Required</t>
        </is>
      </c>
      <c r="E40" s="5" t="inlineStr">
        <is>
          <t>Risk Assessment</t>
        </is>
      </c>
      <c r="F40" s="9" t="inlineStr">
        <is>
          <t>B · AI-computed</t>
        </is>
      </c>
      <c r="G40" s="9" t="inlineStr">
        <is>
          <t>Calculated</t>
        </is>
      </c>
      <c r="H40" s="5" t="inlineStr">
        <is>
          <t>select</t>
        </is>
      </c>
      <c r="I40" s="5" t="inlineStr">
        <is>
          <t>Yes | No</t>
        </is>
      </c>
      <c r="J40" s="5" t="inlineStr">
        <is>
          <t>Yes</t>
        </is>
      </c>
      <c r="K40" s="5" t="inlineStr">
        <is>
          <t>No</t>
        </is>
      </c>
      <c r="L40" s="5" t="inlineStr"/>
      <c r="M40" s="5" t="inlineStr">
        <is>
          <t>corrective action (CAPA)</t>
        </is>
      </c>
      <c r="N40" s="7" t="inlineStr"/>
      <c r="O40" s="7" t="inlineStr"/>
    </row>
    <row r="41">
      <c r="A41" s="5" t="n">
        <v>40</v>
      </c>
      <c r="B41" s="5" t="inlineStr">
        <is>
          <t>investigation_due_date</t>
        </is>
      </c>
      <c r="C41" s="5" t="inlineStr">
        <is>
          <t>Investigation deadline</t>
        </is>
      </c>
      <c r="D41" s="5" t="inlineStr">
        <is>
          <t>Investigation Due Date</t>
        </is>
      </c>
      <c r="E41" s="5" t="inlineStr">
        <is>
          <t>Risk Assessment</t>
        </is>
      </c>
      <c r="F41" s="9" t="inlineStr">
        <is>
          <t>B · AI-computed</t>
        </is>
      </c>
      <c r="G41" s="9" t="inlineStr">
        <is>
          <t>Calculated</t>
        </is>
      </c>
      <c r="H41" s="5" t="inlineStr">
        <is>
          <t>date</t>
        </is>
      </c>
      <c r="I41" s="5" t="inlineStr"/>
      <c r="J41" s="5" t="inlineStr">
        <is>
          <t>No</t>
        </is>
      </c>
      <c r="K41" s="5" t="inlineStr">
        <is>
          <t>No</t>
        </is>
      </c>
      <c r="L41" s="5" t="inlineStr">
        <is>
          <t>Rule: date detected + 15/30/45 days (Critical/Major/Minor).</t>
        </is>
      </c>
      <c r="M41" s="5" t="inlineStr">
        <is>
          <t>investigation deadline</t>
        </is>
      </c>
      <c r="N41" s="7" t="inlineStr"/>
      <c r="O41" s="7" t="inlineStr"/>
    </row>
    <row r="42">
      <c r="A42" s="5" t="n">
        <v>41</v>
      </c>
      <c r="B42" s="5" t="inlineStr">
        <is>
          <t>deviation_magnitude</t>
        </is>
      </c>
      <c r="C42" s="5" t="inlineStr">
        <is>
          <t>How far outside the limit</t>
        </is>
      </c>
      <c r="D42" s="5" t="inlineStr">
        <is>
          <t>Deviation Magnitude</t>
        </is>
      </c>
      <c r="E42" s="5" t="inlineStr">
        <is>
          <t>Risk Assessment</t>
        </is>
      </c>
      <c r="F42" s="9" t="inlineStr">
        <is>
          <t>B · AI-computed</t>
        </is>
      </c>
      <c r="G42" s="9" t="inlineStr">
        <is>
          <t>Calculated</t>
        </is>
      </c>
      <c r="H42" s="5" t="inlineStr">
        <is>
          <t>text</t>
        </is>
      </c>
      <c r="I42" s="5" t="inlineStr"/>
      <c r="J42" s="5" t="inlineStr">
        <is>
          <t>No</t>
        </is>
      </c>
      <c r="K42" s="5" t="inlineStr">
        <is>
          <t>No</t>
        </is>
      </c>
      <c r="L42" s="5" t="inlineStr">
        <is>
          <t>Rule: observed value vs approved range.</t>
        </is>
      </c>
      <c r="M42" s="5" t="inlineStr">
        <is>
          <t>how far outside the limit</t>
        </is>
      </c>
      <c r="N42" s="7" t="inlineStr"/>
      <c r="O42" s="7" t="inlineStr"/>
    </row>
    <row r="43">
      <c r="A43" s="5" t="n">
        <v>42</v>
      </c>
      <c r="B43" s="5" t="inlineStr">
        <is>
          <t>repeat_deviation</t>
        </is>
      </c>
      <c r="C43" s="5" t="inlineStr">
        <is>
          <t>Happened before?</t>
        </is>
      </c>
      <c r="D43" s="5" t="inlineStr">
        <is>
          <t>Repeat Deviation</t>
        </is>
      </c>
      <c r="E43" s="5" t="inlineStr">
        <is>
          <t>Risk Assessment</t>
        </is>
      </c>
      <c r="F43" s="9" t="inlineStr">
        <is>
          <t>B · AI-computed</t>
        </is>
      </c>
      <c r="G43" s="9" t="inlineStr">
        <is>
          <t>Calculated</t>
        </is>
      </c>
      <c r="H43" s="5" t="inlineStr">
        <is>
          <t>select</t>
        </is>
      </c>
      <c r="I43" s="5" t="inlineStr">
        <is>
          <t>Yes | No</t>
        </is>
      </c>
      <c r="J43" s="5" t="inlineStr">
        <is>
          <t>No</t>
        </is>
      </c>
      <c r="K43" s="5" t="inlineStr">
        <is>
          <t>No</t>
        </is>
      </c>
      <c r="L43" s="5" t="inlineStr">
        <is>
          <t>Rule: DB lookup of prior deviations.</t>
        </is>
      </c>
      <c r="M43" s="5" t="inlineStr">
        <is>
          <t>whether it happened before</t>
        </is>
      </c>
      <c r="N43" s="7" t="inlineStr"/>
      <c r="O43" s="7" t="inlineStr"/>
    </row>
    <row r="44">
      <c r="A44" s="5" t="n">
        <v>43</v>
      </c>
      <c r="B44" s="5" t="inlineStr">
        <is>
          <t>related_deviation_id</t>
        </is>
      </c>
      <c r="C44" s="5" t="inlineStr">
        <is>
          <t>Earlier similar record</t>
        </is>
      </c>
      <c r="D44" s="5" t="inlineStr">
        <is>
          <t>Related Deviation ID</t>
        </is>
      </c>
      <c r="E44" s="5" t="inlineStr">
        <is>
          <t>Risk Assessment</t>
        </is>
      </c>
      <c r="F44" s="9" t="inlineStr">
        <is>
          <t>B · AI-computed</t>
        </is>
      </c>
      <c r="G44" s="9" t="inlineStr">
        <is>
          <t>Calculated</t>
        </is>
      </c>
      <c r="H44" s="5" t="inlineStr">
        <is>
          <t>text</t>
        </is>
      </c>
      <c r="I44" s="5" t="inlineStr"/>
      <c r="J44" s="5" t="inlineStr">
        <is>
          <t>No</t>
        </is>
      </c>
      <c r="K44" s="5" t="inlineStr">
        <is>
          <t>No</t>
        </is>
      </c>
      <c r="L44" s="5" t="inlineStr"/>
      <c r="M44" s="5" t="inlineStr">
        <is>
          <t>earlier similar record</t>
        </is>
      </c>
      <c r="N44" s="7" t="inlineStr"/>
      <c r="O44" s="7" t="inlineStr"/>
    </row>
    <row r="45">
      <c r="A45" s="5" t="n">
        <v>44</v>
      </c>
      <c r="B45" s="5" t="inlineStr">
        <is>
          <t>applicable_sop</t>
        </is>
      </c>
      <c r="C45" s="5" t="inlineStr">
        <is>
          <t>Related procedures (SOP), please check</t>
        </is>
      </c>
      <c r="D45" s="5" t="inlineStr">
        <is>
          <t>Applicable SOP (verify)</t>
        </is>
      </c>
      <c r="E45" s="5" t="inlineStr">
        <is>
          <t>Risk Assessment</t>
        </is>
      </c>
      <c r="F45" s="9" t="inlineStr">
        <is>
          <t>B · AI-computed</t>
        </is>
      </c>
      <c r="G45" s="9" t="inlineStr">
        <is>
          <t>Calculated</t>
        </is>
      </c>
      <c r="H45" s="5" t="inlineStr">
        <is>
          <t>text</t>
        </is>
      </c>
      <c r="I45" s="5" t="inlineStr"/>
      <c r="J45" s="5" t="inlineStr">
        <is>
          <t>Yes</t>
        </is>
      </c>
      <c r="K45" s="5" t="inlineStr">
        <is>
          <t>No</t>
        </is>
      </c>
      <c r="L45" s="5" t="inlineStr">
        <is>
          <t>AI suggestion only - must be verified by QA.</t>
        </is>
      </c>
      <c r="M45" s="5" t="inlineStr">
        <is>
          <t>related procedures (SOP)</t>
        </is>
      </c>
      <c r="N45" s="7" t="inlineStr"/>
      <c r="O45" s="7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16" customWidth="1" min="4" max="4"/>
    <col width="20" customWidth="1" min="5" max="5"/>
    <col width="16" customWidth="1" min="6" max="6"/>
  </cols>
  <sheetData>
    <row r="1" ht="30" customHeight="1">
      <c r="A1" s="4" t="inlineStr">
        <is>
          <t>Section</t>
        </is>
      </c>
      <c r="B1" s="4" t="inlineStr">
        <is>
          <t>Fields</t>
        </is>
      </c>
      <c r="C1" s="4" t="inlineStr">
        <is>
          <t>From the report (A)</t>
        </is>
      </c>
      <c r="D1" s="4" t="inlineStr">
        <is>
          <t>Calculated (B)</t>
        </is>
      </c>
      <c r="E1" s="4" t="inlineStr">
        <is>
          <t>Set by a person (C)</t>
        </is>
      </c>
      <c r="F1" s="4" t="inlineStr">
        <is>
          <t>Change by chat</t>
        </is>
      </c>
    </row>
    <row r="2">
      <c r="A2" s="5" t="inlineStr">
        <is>
          <t>1. Event Details</t>
        </is>
      </c>
      <c r="B2" s="5">
        <f>COUNTIF(Fields!$E$2:$E$45,A2)</f>
        <v/>
      </c>
      <c r="C2" s="5">
        <f>COUNTIFS(Fields!$E$2:$E$45,A2,Fields!$F$2:$F$45,"A*")</f>
        <v/>
      </c>
      <c r="D2" s="5">
        <f>COUNTIFS(Fields!$E$2:$E$45,A2,Fields!$F$2:$F$45,"B*")</f>
        <v/>
      </c>
      <c r="E2" s="5">
        <f>COUNTIFS(Fields!$E$2:$E$45,A2,Fields!$F$2:$F$45,"C*")</f>
        <v/>
      </c>
      <c r="F2" s="5">
        <f>COUNTIFS(Fields!$E$2:$E$45,A2,Fields!$J$2:$J$45,"Yes")</f>
        <v/>
      </c>
    </row>
    <row r="3">
      <c r="A3" s="5" t="inlineStr">
        <is>
          <t>2. Product &amp; Process</t>
        </is>
      </c>
      <c r="B3" s="5">
        <f>COUNTIF(Fields!$E$2:$E$45,A3)</f>
        <v/>
      </c>
      <c r="C3" s="5">
        <f>COUNTIFS(Fields!$E$2:$E$45,A3,Fields!$F$2:$F$45,"A*")</f>
        <v/>
      </c>
      <c r="D3" s="5">
        <f>COUNTIFS(Fields!$E$2:$E$45,A3,Fields!$F$2:$F$45,"B*")</f>
        <v/>
      </c>
      <c r="E3" s="5">
        <f>COUNTIFS(Fields!$E$2:$E$45,A3,Fields!$F$2:$F$45,"C*")</f>
        <v/>
      </c>
      <c r="F3" s="5">
        <f>COUNTIFS(Fields!$E$2:$E$45,A3,Fields!$J$2:$J$45,"Yes")</f>
        <v/>
      </c>
    </row>
    <row r="4">
      <c r="A4" s="5" t="inlineStr">
        <is>
          <t>3. Description &amp; Actions</t>
        </is>
      </c>
      <c r="B4" s="5">
        <f>COUNTIF(Fields!$E$2:$E$45,A4)</f>
        <v/>
      </c>
      <c r="C4" s="5">
        <f>COUNTIFS(Fields!$E$2:$E$45,A4,Fields!$F$2:$F$45,"A*")</f>
        <v/>
      </c>
      <c r="D4" s="5">
        <f>COUNTIFS(Fields!$E$2:$E$45,A4,Fields!$F$2:$F$45,"B*")</f>
        <v/>
      </c>
      <c r="E4" s="5">
        <f>COUNTIFS(Fields!$E$2:$E$45,A4,Fields!$F$2:$F$45,"C*")</f>
        <v/>
      </c>
      <c r="F4" s="5">
        <f>COUNTIFS(Fields!$E$2:$E$45,A4,Fields!$J$2:$J$45,"Yes")</f>
        <v/>
      </c>
    </row>
    <row r="5">
      <c r="A5" s="5" t="inlineStr">
        <is>
          <t>4. Classification</t>
        </is>
      </c>
      <c r="B5" s="5">
        <f>COUNTIF(Fields!$E$2:$E$45,A5)</f>
        <v/>
      </c>
      <c r="C5" s="5">
        <f>COUNTIFS(Fields!$E$2:$E$45,A5,Fields!$F$2:$F$45,"A*")</f>
        <v/>
      </c>
      <c r="D5" s="5">
        <f>COUNTIFS(Fields!$E$2:$E$45,A5,Fields!$F$2:$F$45,"B*")</f>
        <v/>
      </c>
      <c r="E5" s="5">
        <f>COUNTIFS(Fields!$E$2:$E$45,A5,Fields!$F$2:$F$45,"C*")</f>
        <v/>
      </c>
      <c r="F5" s="5">
        <f>COUNTIFS(Fields!$E$2:$E$45,A5,Fields!$J$2:$J$45,"Yes")</f>
        <v/>
      </c>
    </row>
    <row r="6">
      <c r="A6" s="5" t="inlineStr">
        <is>
          <t>5. Administration</t>
        </is>
      </c>
      <c r="B6" s="5">
        <f>COUNTIF(Fields!$E$2:$E$45,A6)</f>
        <v/>
      </c>
      <c r="C6" s="5">
        <f>COUNTIFS(Fields!$E$2:$E$45,A6,Fields!$F$2:$F$45,"A*")</f>
        <v/>
      </c>
      <c r="D6" s="5">
        <f>COUNTIFS(Fields!$E$2:$E$45,A6,Fields!$F$2:$F$45,"B*")</f>
        <v/>
      </c>
      <c r="E6" s="5">
        <f>COUNTIFS(Fields!$E$2:$E$45,A6,Fields!$F$2:$F$45,"C*")</f>
        <v/>
      </c>
      <c r="F6" s="5">
        <f>COUNTIFS(Fields!$E$2:$E$45,A6,Fields!$J$2:$J$45,"Yes")</f>
        <v/>
      </c>
    </row>
    <row r="7">
      <c r="A7" s="5" t="inlineStr">
        <is>
          <t>Risk Assessment</t>
        </is>
      </c>
      <c r="B7" s="5">
        <f>COUNTIF(Fields!$E$2:$E$45,A7)</f>
        <v/>
      </c>
      <c r="C7" s="5">
        <f>COUNTIFS(Fields!$E$2:$E$45,A7,Fields!$F$2:$F$45,"A*")</f>
        <v/>
      </c>
      <c r="D7" s="5">
        <f>COUNTIFS(Fields!$E$2:$E$45,A7,Fields!$F$2:$F$45,"B*")</f>
        <v/>
      </c>
      <c r="E7" s="5">
        <f>COUNTIFS(Fields!$E$2:$E$45,A7,Fields!$F$2:$F$45,"C*")</f>
        <v/>
      </c>
      <c r="F7" s="5">
        <f>COUNTIFS(Fields!$E$2:$E$45,A7,Fields!$J$2:$J$45,"Yes")</f>
        <v/>
      </c>
    </row>
    <row r="8">
      <c r="A8" s="10" t="inlineStr">
        <is>
          <t>Total</t>
        </is>
      </c>
      <c r="B8" s="10">
        <f>SUM(B2:B7)</f>
        <v/>
      </c>
      <c r="C8" s="10">
        <f>SUM(C2:C7)</f>
        <v/>
      </c>
      <c r="D8" s="10">
        <f>SUM(D2:D7)</f>
        <v/>
      </c>
      <c r="E8" s="10">
        <f>SUM(E2:E7)</f>
        <v/>
      </c>
      <c r="F8" s="10">
        <f>SUM(F2:F7)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  <col width="10" customWidth="1" min="4" max="4"/>
  </cols>
  <sheetData>
    <row r="1" ht="30" customHeight="1">
      <c r="A1" s="4" t="inlineStr">
        <is>
          <t>Tier</t>
        </is>
      </c>
      <c r="B1" s="4" t="inlineStr">
        <is>
          <t>Name on screen</t>
        </is>
      </c>
      <c r="C1" s="4" t="inlineStr">
        <is>
          <t>Who fills it</t>
        </is>
      </c>
      <c r="D1" s="4" t="inlineStr">
        <is>
          <t>Fields</t>
        </is>
      </c>
    </row>
    <row r="2">
      <c r="A2" s="6" t="inlineStr">
        <is>
          <t>A · AI-extracted</t>
        </is>
      </c>
      <c r="B2" s="5" t="inlineStr">
        <is>
          <t>From the report</t>
        </is>
      </c>
      <c r="C2" s="5" t="inlineStr">
        <is>
          <t>The AI fills it ONLY with facts written in the source report; left blank if absent.</t>
        </is>
      </c>
      <c r="D2" s="5">
        <f>COUNTIF(Fields!$F$2:$F$45,"A*")</f>
        <v/>
      </c>
    </row>
    <row r="3">
      <c r="A3" s="9" t="inlineStr">
        <is>
          <t>B · AI-computed</t>
        </is>
      </c>
      <c r="B3" s="5" t="inlineStr">
        <is>
          <t>Calculated</t>
        </is>
      </c>
      <c r="C3" s="5" t="inlineStr">
        <is>
          <t>The AI risk check (scores, reasoning) or fixed Python rules (RPN, class, CAPA, deadline).</t>
        </is>
      </c>
      <c r="D3" s="5">
        <f>COUNTIF(Fields!$F$2:$F$45,"B*")</f>
        <v/>
      </c>
    </row>
    <row r="4">
      <c r="A4" s="8" t="inlineStr">
        <is>
          <t>C · Human/System</t>
        </is>
      </c>
      <c r="B4" s="5" t="inlineStr">
        <is>
          <t>Set by a person</t>
        </is>
      </c>
      <c r="C4" s="5" t="inlineStr">
        <is>
          <t>Set by the system or by an explicit user instruction. The AI never invents it.</t>
        </is>
      </c>
      <c r="D4" s="5">
        <f>COUNTIF(Fields!$F$2:$F$45,"C*")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</cols>
  <sheetData>
    <row r="1" ht="30" customHeight="1">
      <c r="A1" s="4" t="inlineStr">
        <is>
          <t>Rule</t>
        </is>
      </c>
      <c r="B1" s="4" t="inlineStr">
        <is>
          <t>Definition</t>
        </is>
      </c>
      <c r="C1" s="4" t="inlineStr">
        <is>
          <t>Source</t>
        </is>
      </c>
    </row>
    <row r="2">
      <c r="A2" s="5" t="inlineStr">
        <is>
          <t>Risk score (RPN)</t>
        </is>
      </c>
      <c r="B2" s="5" t="inlineStr">
        <is>
          <t>Severity × Likelihood (occurrence) × Hard to detect (detectability); each 1-5, so 1-125.</t>
        </is>
      </c>
      <c r="C2" s="5" t="inlineStr">
        <is>
          <t>app/rules.py</t>
        </is>
      </c>
    </row>
    <row r="3">
      <c r="A3" s="5" t="inlineStr">
        <is>
          <t>Severity level: Critical</t>
        </is>
      </c>
      <c r="B3" s="5" t="inlineStr">
        <is>
          <t>Severity 5, or RPN 100 or more (unless a person overrides it with a reason).</t>
        </is>
      </c>
      <c r="C3" s="5" t="inlineStr">
        <is>
          <t>app/rules.py classify_severity</t>
        </is>
      </c>
    </row>
    <row r="4">
      <c r="A4" s="5" t="inlineStr">
        <is>
          <t>Severity level: Major</t>
        </is>
      </c>
      <c r="B4" s="5" t="inlineStr">
        <is>
          <t>Severity 3 or more, or RPN 40 or more.</t>
        </is>
      </c>
      <c r="C4" s="5" t="inlineStr">
        <is>
          <t>app/rules.py classify_severity</t>
        </is>
      </c>
    </row>
    <row r="5">
      <c r="A5" s="5" t="inlineStr">
        <is>
          <t>Severity level: Minor</t>
        </is>
      </c>
      <c r="B5" s="5" t="inlineStr">
        <is>
          <t>Otherwise.</t>
        </is>
      </c>
      <c r="C5" s="5" t="inlineStr">
        <is>
          <t>app/rules.py classify_severity</t>
        </is>
      </c>
    </row>
    <row r="6">
      <c r="A6" s="5" t="inlineStr">
        <is>
          <t>Corrective action (CAPA) needed</t>
        </is>
      </c>
      <c r="B6" s="5" t="inlineStr">
        <is>
          <t>Critical or Major, or RPN 60 or more. A person may override with a reason.</t>
        </is>
      </c>
      <c r="C6" s="5" t="inlineStr">
        <is>
          <t>app/rules.py</t>
        </is>
      </c>
    </row>
    <row r="7">
      <c r="A7" s="5" t="inlineStr">
        <is>
          <t>Investigation deadline</t>
        </is>
      </c>
      <c r="B7" s="5" t="inlineStr">
        <is>
          <t>Date found + Critical 15 days, Major 30 days, Minor 45 days.</t>
        </is>
      </c>
      <c r="C7" s="5" t="inlineStr">
        <is>
          <t>app/rules.py DUE_DAYS</t>
        </is>
      </c>
    </row>
    <row r="8">
      <c r="A8" s="5" t="inlineStr">
        <is>
          <t>How far outside the limit</t>
        </is>
      </c>
      <c r="B8" s="5" t="inlineStr">
        <is>
          <t>Parsed from allowed range vs actual value, e.g. '+6 °C above upper limit 65 °C (9.2% over)'.</t>
        </is>
      </c>
      <c r="C8" s="5" t="inlineStr">
        <is>
          <t>app/rules.py</t>
        </is>
      </c>
    </row>
    <row r="9">
      <c r="A9" s="5" t="inlineStr">
        <is>
          <t>Happened before?</t>
        </is>
      </c>
      <c r="B9" s="5" t="inlineStr">
        <is>
          <t>Earlier record on the same machine, or same product + measurement (database lookup).</t>
        </is>
      </c>
      <c r="C9" s="5" t="inlineStr">
        <is>
          <t>app/crud.py find_related</t>
        </is>
      </c>
    </row>
    <row r="10">
      <c r="A10" s="5" t="inlineStr">
        <is>
          <t>Record number</t>
        </is>
      </c>
      <c r="B10" s="5" t="inlineStr">
        <is>
          <t>DEV-YYYY-NNNN, restarts each year, never reused after a deletion.</t>
        </is>
      </c>
      <c r="C10" s="5" t="inlineStr">
        <is>
          <t>app/crud.py next_deviation_id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2026-09-27T04:27:45Z</dcterms:created>
  <dcterms:modified xsi:type="dcterms:W3CDTF">2026-09-27T04:27:45Z</dcterms:modified>
</cp:coreProperties>
</file>